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8C5CC214-F843-4689-ABA2-0EDE3DC595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" sheetId="1" r:id="rId1"/>
    <sheet name="apoio" sheetId="2" state="hidden" r:id="rId2"/>
  </sheets>
  <definedNames>
    <definedName name="rendimento_investimento">App!$D$10:$D$10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A10" i="2"/>
  <c r="A11" i="2"/>
  <c r="A22" i="2"/>
  <c r="B21" i="2"/>
  <c r="A18" i="2"/>
  <c r="A19" i="2"/>
  <c r="A20" i="2"/>
  <c r="A21" i="2"/>
  <c r="A17" i="2"/>
  <c r="A12" i="2"/>
  <c r="A13" i="2"/>
  <c r="A14" i="2"/>
  <c r="A15" i="2"/>
  <c r="A4" i="2"/>
  <c r="A5" i="2"/>
  <c r="A6" i="2"/>
  <c r="A7" i="2"/>
  <c r="A8" i="2"/>
  <c r="A3" i="2"/>
  <c r="C27" i="1"/>
  <c r="C25" i="1"/>
  <c r="C24" i="1"/>
  <c r="C26" i="1"/>
  <c r="D26" i="1"/>
  <c r="D11" i="1"/>
  <c r="D25" i="1"/>
  <c r="D24" i="1"/>
  <c r="D27" i="1"/>
  <c r="C23" i="1"/>
  <c r="D23" i="1" s="1"/>
  <c r="D19" i="1"/>
  <c r="D20" i="1" s="1"/>
  <c r="C36" i="1" l="1"/>
  <c r="D36" i="1" s="1"/>
  <c r="C35" i="1"/>
  <c r="D35" i="1" s="1"/>
  <c r="C40" i="1"/>
  <c r="D40" i="1" s="1"/>
  <c r="C39" i="1"/>
  <c r="D39" i="1" s="1"/>
  <c r="C38" i="1"/>
  <c r="D38" i="1" s="1"/>
  <c r="C37" i="1"/>
  <c r="D37" i="1" s="1"/>
  <c r="D41" i="1"/>
</calcChain>
</file>

<file path=xl/sharedStrings.xml><?xml version="1.0" encoding="utf-8"?>
<sst xmlns="http://schemas.openxmlformats.org/spreadsheetml/2006/main" count="67" uniqueCount="32">
  <si>
    <t xml:space="preserve">CONFIGURAÇÕES </t>
  </si>
  <si>
    <t xml:space="preserve">Salário </t>
  </si>
  <si>
    <t xml:space="preserve">Rendimento  Carteira </t>
  </si>
  <si>
    <t>Sugestão  de Investimento (30%)</t>
  </si>
  <si>
    <t xml:space="preserve">        INVESTIMENTO MENSAL</t>
  </si>
  <si>
    <t>Quanto Investir por mês?</t>
  </si>
  <si>
    <t>Por Quantos Anos  ?</t>
  </si>
  <si>
    <t xml:space="preserve"> Taxa de Rendimento mensal?</t>
  </si>
  <si>
    <t>Patrimônio  Acumulado  ?</t>
  </si>
  <si>
    <t>Dividendo Mensais ?</t>
  </si>
  <si>
    <t xml:space="preserve">   Cenários </t>
  </si>
  <si>
    <t xml:space="preserve">Dividendo 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</si>
  <si>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</si>
  <si>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</si>
  <si>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</si>
  <si>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</si>
  <si>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</si>
  <si>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</si>
  <si>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</si>
  <si>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 xml:space="preserve">VALOR A SER INVESTIDO POR MÊS </t>
  </si>
  <si>
    <t>TIPO DE FII</t>
  </si>
  <si>
    <t xml:space="preserve">Percentual Sugerido </t>
  </si>
  <si>
    <t>Valores</t>
  </si>
  <si>
    <t>PAPEL</t>
  </si>
  <si>
    <t>TIJOLO</t>
  </si>
  <si>
    <t>HIBRIDOS</t>
  </si>
  <si>
    <t>FOFs</t>
  </si>
  <si>
    <t>DESENVOLVIMENTO</t>
  </si>
  <si>
    <t>HOTELARIAS</t>
  </si>
  <si>
    <t>chave</t>
  </si>
  <si>
    <t>CONSERVADOR</t>
  </si>
  <si>
    <t xml:space="preserve">MODERADO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</si>
</sst>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>
    <font>
      <sz val="11"/>
      <color theme="1"/>
      <name val="Calibri"/>
      <family val="2"/>
      <scheme val="minor"/>
    </font>
    <font>
      <b/>
      <sz val="14"/>
      <color theme="0"/>
      <name val="Aptos Display"/>
    </font>
    <font>
      <sz val="11"/>
      <color theme="0"/>
      <name val="Calibri"/>
      <family val="2"/>
      <scheme val="minor"/>
    </font>
    <font>
      <b/>
      <sz val="16"/>
      <color rgb="FFFFFFFF"/>
      <name val="Calibri"/>
      <scheme val="minor"/>
    </font>
    <font>
      <sz val="11"/>
      <color theme="1"/>
      <name val="Aptos Display"/>
    </font>
    <font>
      <b/>
      <sz val="11"/>
      <color theme="1"/>
      <name val="Aptos Display"/>
    </font>
    <font>
      <b/>
      <sz val="16"/>
      <color rgb="FFFFFFFF"/>
      <name val="Batang"/>
    </font>
    <font>
      <b/>
      <sz val="14"/>
      <color theme="0"/>
      <name val="Batang"/>
    </font>
    <font>
      <b/>
      <sz val="18"/>
      <color rgb="FFFFFFFF"/>
      <name val="Batang"/>
    </font>
    <font>
      <b/>
      <sz val="14"/>
      <color rgb="FFFFFFFF"/>
      <name val="Batang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theme="0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theme="2"/>
      </top>
      <bottom/>
      <diagonal/>
    </border>
    <border>
      <left style="medium">
        <color theme="1" tint="0.249977111117893"/>
      </left>
      <right/>
      <top style="thin">
        <color theme="2"/>
      </top>
      <bottom/>
      <diagonal/>
    </border>
    <border>
      <left/>
      <right style="medium">
        <color theme="1" tint="0.249977111117893"/>
      </right>
      <top style="thin">
        <color theme="2"/>
      </top>
      <bottom/>
      <diagonal/>
    </border>
    <border>
      <left/>
      <right style="medium">
        <color theme="1" tint="0.249977111117893"/>
      </right>
      <top style="thin">
        <color theme="2"/>
      </top>
      <bottom style="thin">
        <color theme="2"/>
      </bottom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 style="thin">
        <color theme="9"/>
      </right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/>
      <bottom/>
      <diagonal/>
    </border>
    <border>
      <left style="thin">
        <color theme="2"/>
      </left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 style="medium">
        <color theme="1" tint="0.249977111117893"/>
      </top>
      <bottom style="thin">
        <color theme="7"/>
      </bottom>
      <diagonal/>
    </border>
    <border>
      <left/>
      <right/>
      <top style="medium">
        <color theme="1" tint="0.249977111117893"/>
      </top>
      <bottom style="thin">
        <color theme="7"/>
      </bottom>
      <diagonal/>
    </border>
    <border>
      <left style="thin">
        <color theme="7"/>
      </left>
      <right style="medium">
        <color theme="1" tint="0.249977111117893"/>
      </right>
      <top style="medium">
        <color theme="1" tint="0.249977111117893"/>
      </top>
      <bottom style="thin">
        <color theme="7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1" tint="0.249977111117893"/>
      </left>
      <right/>
      <top style="thin">
        <color theme="0" tint="-4.9989318521683403E-2"/>
      </top>
      <bottom/>
      <diagonal/>
    </border>
    <border>
      <left style="medium">
        <color theme="1" tint="0.249977111117893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9"/>
      </left>
      <right style="medium">
        <color theme="1" tint="0.249977111117893"/>
      </right>
      <top style="medium">
        <color theme="1" tint="0.249977111117893"/>
      </top>
      <bottom style="thin">
        <color theme="9"/>
      </bottom>
      <diagonal/>
    </border>
    <border>
      <left/>
      <right/>
      <top style="medium">
        <color theme="1" tint="0.249977111117893"/>
      </top>
      <bottom/>
      <diagonal/>
    </border>
    <border>
      <left style="medium">
        <color theme="1" tint="0.249977111117893"/>
      </left>
      <right/>
      <top style="medium">
        <color theme="1" tint="0.249977111117893"/>
      </top>
      <bottom style="thin">
        <color theme="9"/>
      </bottom>
      <diagonal/>
    </border>
    <border>
      <left/>
      <right/>
      <top style="medium">
        <color theme="1" tint="0.249977111117893"/>
      </top>
      <bottom style="thin">
        <color theme="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 tint="0.249977111117893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medium">
        <color theme="1" tint="0.249977111117893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 tint="0.249977111117893"/>
      </right>
      <top style="thin">
        <color theme="0" tint="-4.9989318521683403E-2"/>
      </top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 style="thin">
        <color theme="0" tint="-4.9989318521683403E-2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 tint="0.249977111117893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1" tint="0.249977111117893"/>
      </left>
      <right style="thin">
        <color theme="0" tint="-4.9989318521683403E-2"/>
      </right>
      <top style="thin">
        <color theme="2"/>
      </top>
      <bottom/>
      <diagonal/>
    </border>
    <border>
      <left/>
      <right style="medium">
        <color theme="1" tint="0.249977111117893"/>
      </right>
      <top style="thin">
        <color theme="0" tint="-4.9989318521683403E-2"/>
      </top>
      <bottom/>
      <diagonal/>
    </border>
    <border>
      <left style="medium">
        <color theme="1" tint="0.249977111117893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 tint="0.249977111117893"/>
      </left>
      <right style="thin">
        <color theme="0" tint="-4.9989318521683403E-2"/>
      </right>
      <top/>
      <bottom style="medium">
        <color theme="1" tint="0.249977111117893"/>
      </bottom>
      <diagonal/>
    </border>
    <border>
      <left/>
      <right style="thin">
        <color theme="0" tint="-4.9989318521683403E-2"/>
      </right>
      <top/>
      <bottom style="medium">
        <color theme="1" tint="0.249977111117893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0" xfId="0" applyFont="1" applyFill="1"/>
    <xf numFmtId="0" fontId="0" fillId="2" borderId="0" xfId="0" applyFill="1" applyBorder="1"/>
    <xf numFmtId="0" fontId="0" fillId="2" borderId="0" xfId="0" applyFill="1"/>
    <xf numFmtId="0" fontId="4" fillId="2" borderId="0" xfId="0" applyFont="1" applyFill="1"/>
    <xf numFmtId="164" fontId="4" fillId="2" borderId="3" xfId="0" applyNumberFormat="1" applyFont="1" applyFill="1" applyBorder="1" applyAlignment="1">
      <alignment horizontal="left" indent="1"/>
    </xf>
    <xf numFmtId="0" fontId="0" fillId="2" borderId="0" xfId="0" applyFill="1" applyAlignment="1">
      <alignment horizontal="left" indent="1"/>
    </xf>
    <xf numFmtId="0" fontId="0" fillId="2" borderId="8" xfId="0" applyFill="1" applyBorder="1"/>
    <xf numFmtId="0" fontId="0" fillId="2" borderId="9" xfId="0" applyFill="1" applyBorder="1" applyAlignment="1">
      <alignment horizontal="left" indent="1"/>
    </xf>
    <xf numFmtId="10" fontId="4" fillId="2" borderId="11" xfId="0" applyNumberFormat="1" applyFont="1" applyFill="1" applyBorder="1" applyAlignment="1">
      <alignment horizontal="left" wrapText="1" indent="1"/>
    </xf>
    <xf numFmtId="0" fontId="0" fillId="2" borderId="0" xfId="0" applyFill="1" applyBorder="1" applyAlignment="1">
      <alignment horizontal="right"/>
    </xf>
    <xf numFmtId="0" fontId="3" fillId="3" borderId="14" xfId="0" applyFont="1" applyFill="1" applyBorder="1" applyAlignment="1">
      <alignment vertical="center"/>
    </xf>
    <xf numFmtId="164" fontId="4" fillId="6" borderId="7" xfId="0" applyNumberFormat="1" applyFont="1" applyFill="1" applyBorder="1" applyAlignment="1">
      <alignment horizontal="left" indent="1"/>
    </xf>
    <xf numFmtId="0" fontId="4" fillId="6" borderId="10" xfId="0" applyFont="1" applyFill="1" applyBorder="1" applyAlignment="1">
      <alignment horizontal="left" indent="1"/>
    </xf>
    <xf numFmtId="0" fontId="1" fillId="4" borderId="19" xfId="0" applyFont="1" applyFill="1" applyBorder="1" applyAlignment="1">
      <alignment horizontal="left" vertical="center" indent="1"/>
    </xf>
    <xf numFmtId="8" fontId="4" fillId="6" borderId="23" xfId="0" applyNumberFormat="1" applyFont="1" applyFill="1" applyBorder="1" applyAlignment="1">
      <alignment horizontal="left" indent="1"/>
    </xf>
    <xf numFmtId="8" fontId="4" fillId="6" borderId="16" xfId="0" applyNumberFormat="1" applyFont="1" applyFill="1" applyBorder="1" applyAlignment="1">
      <alignment horizontal="left" indent="1"/>
    </xf>
    <xf numFmtId="8" fontId="4" fillId="6" borderId="15" xfId="0" applyNumberFormat="1" applyFont="1" applyFill="1" applyBorder="1" applyAlignment="1">
      <alignment horizontal="left" indent="1"/>
    </xf>
    <xf numFmtId="0" fontId="0" fillId="2" borderId="26" xfId="0" applyFill="1" applyBorder="1"/>
    <xf numFmtId="0" fontId="0" fillId="2" borderId="25" xfId="0" applyFill="1" applyBorder="1" applyAlignment="1">
      <alignment horizontal="left" indent="1"/>
    </xf>
    <xf numFmtId="8" fontId="4" fillId="6" borderId="25" xfId="0" applyNumberFormat="1" applyFont="1" applyFill="1" applyBorder="1" applyAlignment="1">
      <alignment horizontal="left" indent="1"/>
    </xf>
    <xf numFmtId="164" fontId="4" fillId="2" borderId="28" xfId="0" applyNumberFormat="1" applyFont="1" applyFill="1" applyBorder="1" applyAlignment="1">
      <alignment horizontal="left" wrapText="1" indent="1"/>
    </xf>
    <xf numFmtId="0" fontId="4" fillId="2" borderId="29" xfId="0" applyFont="1" applyFill="1" applyBorder="1" applyAlignment="1">
      <alignment horizontal="left" wrapText="1" indent="1"/>
    </xf>
    <xf numFmtId="8" fontId="4" fillId="6" borderId="28" xfId="0" applyNumberFormat="1" applyFont="1" applyFill="1" applyBorder="1" applyAlignment="1">
      <alignment horizontal="left" wrapText="1" indent="1"/>
    </xf>
    <xf numFmtId="8" fontId="4" fillId="6" borderId="30" xfId="0" applyNumberFormat="1" applyFont="1" applyFill="1" applyBorder="1" applyAlignment="1">
      <alignment horizontal="left" wrapText="1" indent="1"/>
    </xf>
    <xf numFmtId="0" fontId="9" fillId="4" borderId="32" xfId="0" applyFont="1" applyFill="1" applyBorder="1" applyAlignment="1">
      <alignment horizontal="left" vertical="center" indent="1"/>
    </xf>
    <xf numFmtId="8" fontId="4" fillId="6" borderId="33" xfId="0" applyNumberFormat="1" applyFont="1" applyFill="1" applyBorder="1" applyAlignment="1">
      <alignment horizontal="left" indent="1"/>
    </xf>
    <xf numFmtId="0" fontId="4" fillId="6" borderId="34" xfId="0" applyFont="1" applyFill="1" applyBorder="1" applyAlignment="1">
      <alignment horizontal="left" indent="1"/>
    </xf>
    <xf numFmtId="8" fontId="4" fillId="6" borderId="9" xfId="0" applyNumberFormat="1" applyFont="1" applyFill="1" applyBorder="1" applyAlignment="1">
      <alignment horizontal="left" indent="1"/>
    </xf>
    <xf numFmtId="0" fontId="4" fillId="6" borderId="35" xfId="0" applyFont="1" applyFill="1" applyBorder="1" applyAlignment="1">
      <alignment horizontal="left" indent="1"/>
    </xf>
    <xf numFmtId="8" fontId="4" fillId="6" borderId="36" xfId="0" applyNumberFormat="1" applyFont="1" applyFill="1" applyBorder="1" applyAlignment="1">
      <alignment horizontal="left" indent="1"/>
    </xf>
    <xf numFmtId="0" fontId="4" fillId="6" borderId="37" xfId="0" applyFont="1" applyFill="1" applyBorder="1" applyAlignment="1">
      <alignment horizontal="left" indent="1"/>
    </xf>
    <xf numFmtId="0" fontId="4" fillId="6" borderId="38" xfId="0" applyFont="1" applyFill="1" applyBorder="1" applyAlignment="1">
      <alignment horizontal="left" indent="1"/>
    </xf>
    <xf numFmtId="8" fontId="4" fillId="6" borderId="39" xfId="0" applyNumberFormat="1" applyFont="1" applyFill="1" applyBorder="1" applyAlignment="1">
      <alignment horizontal="left" indent="1"/>
    </xf>
    <xf numFmtId="8" fontId="4" fillId="6" borderId="7" xfId="0" applyNumberFormat="1" applyFont="1" applyFill="1" applyBorder="1" applyAlignment="1">
      <alignment horizontal="left" indent="1"/>
    </xf>
    <xf numFmtId="0" fontId="0" fillId="7" borderId="0" xfId="0" applyFill="1"/>
    <xf numFmtId="0" fontId="10" fillId="2" borderId="0" xfId="0" applyFont="1" applyFill="1" applyBorder="1"/>
    <xf numFmtId="0" fontId="10" fillId="5" borderId="0" xfId="0" applyFont="1" applyFill="1"/>
    <xf numFmtId="0" fontId="0" fillId="2" borderId="0" xfId="0" applyFill="1" applyAlignment="1">
      <alignment horizontal="center"/>
    </xf>
    <xf numFmtId="9" fontId="0" fillId="2" borderId="0" xfId="0" applyNumberFormat="1" applyFill="1" applyBorder="1"/>
    <xf numFmtId="9" fontId="0" fillId="2" borderId="0" xfId="0" applyNumberFormat="1" applyFill="1"/>
    <xf numFmtId="0" fontId="10" fillId="2" borderId="0" xfId="0" applyFont="1" applyFill="1" applyAlignment="1">
      <alignment horizontal="center"/>
    </xf>
    <xf numFmtId="0" fontId="0" fillId="5" borderId="0" xfId="0" applyFill="1"/>
    <xf numFmtId="164" fontId="0" fillId="5" borderId="0" xfId="0" applyNumberFormat="1" applyFill="1" applyBorder="1"/>
    <xf numFmtId="0" fontId="0" fillId="5" borderId="0" xfId="0" applyFill="1" applyAlignment="1">
      <alignment horizontal="center"/>
    </xf>
    <xf numFmtId="9" fontId="0" fillId="5" borderId="0" xfId="0" applyNumberFormat="1" applyFill="1"/>
    <xf numFmtId="9" fontId="0" fillId="0" borderId="0" xfId="0" applyNumberFormat="1"/>
    <xf numFmtId="2" fontId="0" fillId="0" borderId="0" xfId="0" applyNumberFormat="1"/>
    <xf numFmtId="9" fontId="0" fillId="2" borderId="0" xfId="0" applyNumberFormat="1" applyFill="1" applyBorder="1" applyAlignment="1">
      <alignment wrapText="1"/>
    </xf>
    <xf numFmtId="10" fontId="4" fillId="2" borderId="4" xfId="0" applyNumberFormat="1" applyFont="1" applyFill="1" applyBorder="1" applyAlignment="1">
      <alignment horizontal="left" indent="1"/>
    </xf>
    <xf numFmtId="0" fontId="12" fillId="8" borderId="0" xfId="0" applyFont="1" applyFill="1"/>
    <xf numFmtId="164" fontId="10" fillId="8" borderId="0" xfId="0" applyNumberFormat="1" applyFont="1" applyFill="1"/>
    <xf numFmtId="0" fontId="10" fillId="8" borderId="0" xfId="0" applyFont="1" applyFill="1" applyAlignment="1">
      <alignment horizontal="center"/>
    </xf>
    <xf numFmtId="0" fontId="10" fillId="8" borderId="0" xfId="0" applyFont="1" applyFill="1" applyBorder="1"/>
    <xf numFmtId="0" fontId="11" fillId="8" borderId="0" xfId="0" applyFont="1" applyFill="1" applyBorder="1"/>
    <xf numFmtId="164" fontId="10" fillId="2" borderId="0" xfId="0" applyNumberFormat="1" applyFont="1" applyFill="1"/>
    <xf numFmtId="0" fontId="10" fillId="5" borderId="0" xfId="0" applyFont="1" applyFill="1" applyAlignment="1">
      <alignment horizontal="center"/>
    </xf>
    <xf numFmtId="0" fontId="0" fillId="7" borderId="0" xfId="0" applyFill="1" applyBorder="1" applyAlignment="1">
      <alignment horizontal="center"/>
    </xf>
    <xf numFmtId="164" fontId="10" fillId="5" borderId="0" xfId="0" applyNumberFormat="1" applyFont="1" applyFill="1" applyBorder="1" applyAlignment="1">
      <alignment horizontal="center" indent="1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left" indent="1"/>
    </xf>
    <xf numFmtId="0" fontId="4" fillId="6" borderId="16" xfId="0" applyFont="1" applyFill="1" applyBorder="1" applyAlignment="1">
      <alignment horizontal="left" indent="1"/>
    </xf>
    <xf numFmtId="0" fontId="4" fillId="6" borderId="18" xfId="0" applyFont="1" applyFill="1" applyBorder="1" applyAlignment="1">
      <alignment horizontal="left" wrapText="1" indent="1"/>
    </xf>
    <xf numFmtId="0" fontId="4" fillId="6" borderId="15" xfId="0" applyFont="1" applyFill="1" applyBorder="1" applyAlignment="1">
      <alignment horizontal="left" wrapText="1" indent="1"/>
    </xf>
    <xf numFmtId="0" fontId="4" fillId="6" borderId="5" xfId="0" applyFont="1" applyFill="1" applyBorder="1" applyAlignment="1">
      <alignment horizontal="left" indent="1"/>
    </xf>
    <xf numFmtId="0" fontId="4" fillId="6" borderId="6" xfId="0" applyFont="1" applyFill="1" applyBorder="1" applyAlignment="1">
      <alignment horizontal="left" indent="1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left" vertical="center"/>
    </xf>
    <xf numFmtId="0" fontId="8" fillId="4" borderId="20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wrapText="1" indent="1"/>
    </xf>
    <xf numFmtId="0" fontId="4" fillId="2" borderId="1" xfId="0" applyFont="1" applyFill="1" applyBorder="1" applyAlignment="1">
      <alignment horizontal="left" wrapText="1" indent="1"/>
    </xf>
    <xf numFmtId="0" fontId="5" fillId="6" borderId="18" xfId="0" applyFont="1" applyFill="1" applyBorder="1" applyAlignment="1">
      <alignment horizontal="left" wrapText="1" indent="1"/>
    </xf>
    <xf numFmtId="0" fontId="5" fillId="6" borderId="27" xfId="0" applyFont="1" applyFill="1" applyBorder="1" applyAlignment="1">
      <alignment horizontal="left" wrapText="1" indent="1"/>
    </xf>
    <xf numFmtId="0" fontId="4" fillId="2" borderId="17" xfId="0" applyFont="1" applyFill="1" applyBorder="1" applyAlignment="1">
      <alignment horizontal="left" wrapText="1" indent="1"/>
    </xf>
    <xf numFmtId="0" fontId="4" fillId="2" borderId="24" xfId="0" applyFont="1" applyFill="1" applyBorder="1" applyAlignment="1">
      <alignment horizontal="left" wrapText="1" indent="1"/>
    </xf>
    <xf numFmtId="0" fontId="4" fillId="2" borderId="10" xfId="0" applyFont="1" applyFill="1" applyBorder="1" applyAlignment="1">
      <alignment horizontal="left" wrapText="1" indent="1"/>
    </xf>
    <xf numFmtId="0" fontId="4" fillId="2" borderId="0" xfId="0" applyFont="1" applyFill="1" applyBorder="1" applyAlignment="1">
      <alignment horizontal="left" wrapText="1" indent="1"/>
    </xf>
    <xf numFmtId="0" fontId="5" fillId="6" borderId="5" xfId="0" applyFont="1" applyFill="1" applyBorder="1" applyAlignment="1">
      <alignment horizontal="left" wrapText="1" indent="1"/>
    </xf>
    <xf numFmtId="0" fontId="5" fillId="6" borderId="6" xfId="0" applyFont="1" applyFill="1" applyBorder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7B65-4B09-999D-14A672F82E6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45-47D0-9A57-005EE6E55A5C}"/>
              </c:ext>
            </c:extLst>
          </c:dPt>
          <c:dPt>
            <c:idx val="2"/>
            <c:bubble3D val="0"/>
            <c:spPr>
              <a:solidFill>
                <a:srgbClr val="FFD9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65-4B09-999D-14A672F82E6B}"/>
              </c:ext>
            </c:extLst>
          </c:dPt>
          <c:dPt>
            <c:idx val="3"/>
            <c:bubble3D val="0"/>
            <c:spPr>
              <a:solidFill>
                <a:srgbClr val="BFBFB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BE-42A1-8874-3F9D499BA9A6}"/>
              </c:ext>
            </c:extLst>
          </c:dPt>
          <c:dPt>
            <c:idx val="4"/>
            <c:bubble3D val="0"/>
            <c:spPr>
              <a:solidFill>
                <a:srgbClr val="E7E6E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9BE-42A1-8874-3F9D499BA9A6}"/>
              </c:ext>
            </c:extLst>
          </c:dPt>
          <c:dPt>
            <c:idx val="5"/>
            <c:bubble3D val="0"/>
            <c:spPr>
              <a:solidFill>
                <a:srgbClr val="FFFF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B65-4B09-999D-14A672F82E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App!$C$35:$C$40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5-47D0-9A57-005EE6E55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104775</xdr:rowOff>
    </xdr:from>
    <xdr:to>
      <xdr:col>4</xdr:col>
      <xdr:colOff>38100</xdr:colOff>
      <xdr:row>6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0DE5AE-A9A4-1E60-C5CC-E9471C183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0709"/>
        <a:stretch>
          <a:fillRect/>
        </a:stretch>
      </xdr:blipFill>
      <xdr:spPr>
        <a:xfrm>
          <a:off x="200025" y="104775"/>
          <a:ext cx="5905500" cy="1076325"/>
        </a:xfrm>
        <a:prstGeom prst="rect">
          <a:avLst/>
        </a:prstGeom>
      </xdr:spPr>
    </xdr:pic>
    <xdr:clientData/>
  </xdr:twoCellAnchor>
  <xdr:twoCellAnchor>
    <xdr:from>
      <xdr:col>1</xdr:col>
      <xdr:colOff>476250</xdr:colOff>
      <xdr:row>41</xdr:row>
      <xdr:rowOff>152400</xdr:rowOff>
    </xdr:from>
    <xdr:to>
      <xdr:col>3</xdr:col>
      <xdr:colOff>1857375</xdr:colOff>
      <xdr:row>53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8ABC01-B482-D949-1318-5E7E8D55C680}"/>
            </a:ext>
            <a:ext uri="{147F2762-F138-4A5C-976F-8EAC2B608ADB}">
              <a16:predDERef xmlns:a16="http://schemas.microsoft.com/office/drawing/2014/main" pred="{880DE5AE-A9A4-1E60-C5CC-E9471C183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FH42"/>
  <sheetViews>
    <sheetView showGridLines="0" showRowColHeaders="0" tabSelected="1" topLeftCell="A19" workbookViewId="0">
      <selection activeCell="C30" sqref="C30:D3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/>
  <cols>
    <col min="1" max="1" width="3" style="3" bestFit="1" customWidth="1"/>
    <col min="2" max="2" width="34.140625" style="3" bestFit="1" customWidth="1"/>
    <col min="3" max="3" width="22.140625" style="3" customWidth="1"/>
    <col min="4" max="4" width="31.7109375" style="3" customWidth="1"/>
    <col min="5" max="5" width="10.28515625" style="3" customWidth="1"/>
    <col min="6" max="6" width="14.28515625" style="3" hidden="1" bestFit="1" customWidth="1"/>
    <col min="7" max="8" width="19.7109375" style="3" hidden="1" bestFit="1" customWidth="1"/>
    <col min="9" max="9" width="9.140625" style="3" hidden="1" bestFit="1" customWidth="1"/>
    <col min="10" max="10" width="9.7109375" style="3" hidden="1" bestFit="1" customWidth="1"/>
    <col min="11" max="80" width="9.140625" style="3" hidden="1" bestFit="1" customWidth="1"/>
    <col min="81" max="81" width="9.7109375" style="3" hidden="1" bestFit="1" customWidth="1"/>
    <col min="82" max="1513" width="9.140625" style="3" hidden="1" bestFit="1" customWidth="1"/>
    <col min="1514" max="1515" width="12.5703125" style="3" hidden="1" bestFit="1" customWidth="1"/>
    <col min="1516" max="1516" width="12.5703125" style="3" hidden="1" customWidth="1"/>
    <col min="1517" max="16384" width="0" style="3" hidden="1"/>
  </cols>
  <sheetData>
    <row r="2" spans="2:5">
      <c r="E2" s="2"/>
    </row>
    <row r="3" spans="2:5">
      <c r="E3" s="2"/>
    </row>
    <row r="4" spans="2:5">
      <c r="E4" s="2"/>
    </row>
    <row r="5" spans="2:5">
      <c r="E5" s="2"/>
    </row>
    <row r="6" spans="2:5">
      <c r="E6" s="2"/>
    </row>
    <row r="7" spans="2:5">
      <c r="E7" s="2"/>
    </row>
    <row r="8" spans="2:5" ht="21">
      <c r="B8" s="59" t="s">
        <v>0</v>
      </c>
      <c r="C8" s="60"/>
      <c r="D8" s="11"/>
      <c r="E8" s="2"/>
    </row>
    <row r="9" spans="2:5">
      <c r="B9" s="61" t="s">
        <v>1</v>
      </c>
      <c r="C9" s="62"/>
      <c r="D9" s="5">
        <v>2500</v>
      </c>
      <c r="E9" s="2"/>
    </row>
    <row r="10" spans="2:5">
      <c r="B10" s="63" t="s">
        <v>2</v>
      </c>
      <c r="C10" s="64"/>
      <c r="D10" s="49">
        <v>6.0000000000000001E-3</v>
      </c>
      <c r="E10" s="2"/>
    </row>
    <row r="11" spans="2:5" ht="15" customHeight="1">
      <c r="B11" s="65" t="s">
        <v>3</v>
      </c>
      <c r="C11" s="66"/>
      <c r="D11" s="12">
        <f>D9*30%</f>
        <v>750</v>
      </c>
    </row>
    <row r="12" spans="2:5" ht="0.75" customHeight="1">
      <c r="D12" s="6"/>
    </row>
    <row r="13" spans="2:5">
      <c r="D13" s="6"/>
    </row>
    <row r="14" spans="2:5" ht="30" customHeight="1">
      <c r="B14" s="67" t="s">
        <v>4</v>
      </c>
      <c r="C14" s="68"/>
      <c r="D14" s="14"/>
    </row>
    <row r="15" spans="2:5" ht="0.75" customHeight="1">
      <c r="B15" s="7"/>
      <c r="C15" s="2"/>
      <c r="D15" s="8"/>
    </row>
    <row r="16" spans="2:5">
      <c r="B16" s="77" t="s">
        <v>5</v>
      </c>
      <c r="C16" s="78"/>
      <c r="D16" s="21">
        <v>750</v>
      </c>
    </row>
    <row r="17" spans="1:8" ht="19.5" customHeight="1">
      <c r="B17" s="71" t="s">
        <v>6</v>
      </c>
      <c r="C17" s="72"/>
      <c r="D17" s="22">
        <v>5</v>
      </c>
    </row>
    <row r="18" spans="1:8" ht="18" customHeight="1">
      <c r="B18" s="75" t="s">
        <v>7</v>
      </c>
      <c r="C18" s="76"/>
      <c r="D18" s="9">
        <v>1.0789999999999999E-2</v>
      </c>
    </row>
    <row r="19" spans="1:8" ht="15.75" customHeight="1">
      <c r="B19" s="73" t="s">
        <v>8</v>
      </c>
      <c r="C19" s="74"/>
      <c r="D19" s="23">
        <f>FV(D18,D17*12,-D16)</f>
        <v>62832.685498865736</v>
      </c>
    </row>
    <row r="20" spans="1:8">
      <c r="B20" s="79" t="s">
        <v>9</v>
      </c>
      <c r="C20" s="80"/>
      <c r="D20" s="24">
        <f>D19*$D$10</f>
        <v>376.9961129931944</v>
      </c>
    </row>
    <row r="21" spans="1:8">
      <c r="B21" s="18"/>
      <c r="C21" s="2"/>
      <c r="D21" s="19"/>
    </row>
    <row r="22" spans="1:8" ht="21">
      <c r="B22" s="69" t="s">
        <v>10</v>
      </c>
      <c r="C22" s="70"/>
      <c r="D22" s="25" t="s">
        <v>11</v>
      </c>
      <c r="E22" s="2"/>
    </row>
    <row r="23" spans="1:8">
      <c r="A23" s="1">
        <v>2</v>
      </c>
      <c r="B23" s="13" t="s">
        <v>12</v>
      </c>
      <c r="C23" s="15">
        <f>FV($D$18,$A23*12,-$D$16)</f>
        <v>20420.720473233912</v>
      </c>
      <c r="D23" s="26">
        <f>C23*$D$10</f>
        <v>122.52432283940348</v>
      </c>
    </row>
    <row r="24" spans="1:8">
      <c r="A24" s="1">
        <v>5</v>
      </c>
      <c r="B24" s="27" t="s">
        <v>13</v>
      </c>
      <c r="C24" s="20">
        <f>FV($D$18,$A24*12,-$D$16)</f>
        <v>62832.685498865736</v>
      </c>
      <c r="D24" s="28">
        <f>C24*$D$10</f>
        <v>376.9961129931944</v>
      </c>
    </row>
    <row r="25" spans="1:8">
      <c r="A25" s="1">
        <v>10</v>
      </c>
      <c r="B25" s="29" t="s">
        <v>14</v>
      </c>
      <c r="C25" s="16">
        <f>FV($D$18,$A25*12,-$D$16)</f>
        <v>182463.15939762915</v>
      </c>
      <c r="D25" s="30">
        <f>C25*$D$10</f>
        <v>1094.778956385775</v>
      </c>
      <c r="E25" s="4"/>
    </row>
    <row r="26" spans="1:8">
      <c r="A26" s="1">
        <v>20</v>
      </c>
      <c r="B26" s="31" t="s">
        <v>15</v>
      </c>
      <c r="C26" s="17">
        <f>FV($D$18,$A26*12,-$D$16)</f>
        <v>843898.8000728105</v>
      </c>
      <c r="D26" s="26">
        <f>C26*$D$10</f>
        <v>5063.3928004368627</v>
      </c>
      <c r="E26" s="2"/>
      <c r="F26" s="2"/>
      <c r="G26" s="2"/>
      <c r="H26" s="2"/>
    </row>
    <row r="27" spans="1:8">
      <c r="A27" s="1">
        <v>30</v>
      </c>
      <c r="B27" s="32" t="s">
        <v>16</v>
      </c>
      <c r="C27" s="33">
        <f>FV($D$18,$A27*12,-$D$16)</f>
        <v>3241627.2412535357</v>
      </c>
      <c r="D27" s="34">
        <f>C27*$D$10</f>
        <v>19449.763447521214</v>
      </c>
      <c r="E27" s="2"/>
      <c r="F27" s="2"/>
      <c r="G27" s="2"/>
      <c r="H27" s="2"/>
    </row>
    <row r="28" spans="1:8">
      <c r="C28" s="2"/>
      <c r="D28" s="10"/>
      <c r="E28" s="2"/>
    </row>
    <row r="29" spans="1:8">
      <c r="C29" s="2"/>
      <c r="D29" s="2"/>
      <c r="E29" s="2"/>
    </row>
    <row r="30" spans="1:8">
      <c r="B30" s="35" t="s">
        <v>17</v>
      </c>
      <c r="C30" s="57" t="s">
        <v>18</v>
      </c>
      <c r="D30" s="57"/>
      <c r="E30" s="2"/>
    </row>
    <row r="31" spans="1:8">
      <c r="B31" s="37" t="s">
        <v>19</v>
      </c>
      <c r="C31" s="58">
        <f>D16</f>
        <v>750</v>
      </c>
      <c r="D31" s="58"/>
      <c r="E31" s="2"/>
    </row>
    <row r="32" spans="1:8">
      <c r="C32" s="2"/>
      <c r="D32" s="2"/>
      <c r="E32" s="2"/>
    </row>
    <row r="33" spans="2:4" ht="18.75" customHeight="1">
      <c r="B33" s="52" t="s">
        <v>20</v>
      </c>
      <c r="C33" s="53" t="s">
        <v>21</v>
      </c>
      <c r="D33" s="54" t="s">
        <v>22</v>
      </c>
    </row>
    <row r="34" spans="2:4" ht="7.5" customHeight="1">
      <c r="B34" s="41"/>
      <c r="C34" s="36"/>
      <c r="D34" s="43"/>
    </row>
    <row r="35" spans="2:4" ht="10.5" customHeight="1">
      <c r="B35" s="38" t="s">
        <v>23</v>
      </c>
      <c r="C35" s="48">
        <f>VLOOKUP($C$30&amp;"-"&amp;B35,apoio!$A2:$D22,4,FALSE)</f>
        <v>0.5</v>
      </c>
      <c r="D35" s="43">
        <f>C35*$C$31</f>
        <v>375</v>
      </c>
    </row>
    <row r="36" spans="2:4" ht="13.5" customHeight="1">
      <c r="B36" s="38" t="s">
        <v>24</v>
      </c>
      <c r="C36" s="48">
        <f>VLOOKUP($C$30&amp;"-"&amp;B36,apoio!$A3:$D23,4,FALSE)</f>
        <v>0.1</v>
      </c>
      <c r="D36" s="43">
        <f t="shared" ref="D36:D40" si="0">C36*$C$31</f>
        <v>75</v>
      </c>
    </row>
    <row r="37" spans="2:4">
      <c r="B37" s="38" t="s">
        <v>25</v>
      </c>
      <c r="C37" s="48">
        <f>VLOOKUP($C$30&amp;"-"&amp;B37,apoio!$A4:$D24,4,FALSE)</f>
        <v>0.05</v>
      </c>
      <c r="D37" s="43">
        <f t="shared" si="0"/>
        <v>37.5</v>
      </c>
    </row>
    <row r="38" spans="2:4">
      <c r="B38" s="38" t="s">
        <v>26</v>
      </c>
      <c r="C38" s="48">
        <f>VLOOKUP($C$30&amp;"-"&amp;B38,apoio!$A5:$D25,4,FALSE)</f>
        <v>0.05</v>
      </c>
      <c r="D38" s="43">
        <f t="shared" si="0"/>
        <v>37.5</v>
      </c>
    </row>
    <row r="39" spans="2:4">
      <c r="B39" s="38" t="s">
        <v>27</v>
      </c>
      <c r="C39" s="48">
        <f>VLOOKUP($C$30&amp;"-"&amp;B39,apoio!$A6:$D26,4,FALSE)</f>
        <v>0.2</v>
      </c>
      <c r="D39" s="43">
        <f t="shared" si="0"/>
        <v>150</v>
      </c>
    </row>
    <row r="40" spans="2:4">
      <c r="B40" s="38" t="s">
        <v>28</v>
      </c>
      <c r="C40" s="48">
        <f>VLOOKUP($C$30&amp;"-"&amp;B40,apoio!$A7:$D27,4,FALSE)</f>
        <v>0.1</v>
      </c>
      <c r="D40" s="43">
        <f t="shared" si="0"/>
        <v>75</v>
      </c>
    </row>
    <row r="41" spans="2:4">
      <c r="B41" s="50"/>
      <c r="C41" s="50"/>
      <c r="D41" s="51">
        <f>SUM(D35:D40)</f>
        <v>750</v>
      </c>
    </row>
    <row r="42" spans="2:4">
      <c r="D42" s="55"/>
    </row>
  </sheetData>
  <mergeCells count="13">
    <mergeCell ref="C30:D30"/>
    <mergeCell ref="C31:D31"/>
    <mergeCell ref="B8:C8"/>
    <mergeCell ref="B9:C9"/>
    <mergeCell ref="B10:C10"/>
    <mergeCell ref="B11:C11"/>
    <mergeCell ref="B14:C14"/>
    <mergeCell ref="B22:C22"/>
    <mergeCell ref="B17:C17"/>
    <mergeCell ref="B19:C19"/>
    <mergeCell ref="B18:C18"/>
    <mergeCell ref="B16:C16"/>
    <mergeCell ref="B20:C20"/>
  </mergeCells>
  <dataValidations count="1">
    <dataValidation type="list" allowBlank="1" showInputMessage="1" showErrorMessage="1" sqref="C30:D30" xr:uid="{0862D5D5-F35F-4C02-8923-65737E29CBB6}">
      <formula1>"CONSERVADOR,MODERADO 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C2DF-F4A3-4F81-80DA-EB8867D837D2}">
  <dimension ref="A2:H22"/>
  <sheetViews>
    <sheetView workbookViewId="0">
      <selection activeCell="F10" sqref="F10"/>
    </sheetView>
  </sheetViews>
  <sheetFormatPr defaultRowHeight="15"/>
  <cols>
    <col min="1" max="1" width="35" customWidth="1"/>
    <col min="2" max="2" width="31.7109375" customWidth="1"/>
    <col min="3" max="3" width="22.42578125" customWidth="1"/>
    <col min="7" max="7" width="26.5703125" customWidth="1"/>
  </cols>
  <sheetData>
    <row r="2" spans="1:8" s="42" customFormat="1">
      <c r="A2" s="42" t="s">
        <v>29</v>
      </c>
      <c r="B2" s="42" t="s">
        <v>17</v>
      </c>
      <c r="C2" s="56" t="s">
        <v>20</v>
      </c>
    </row>
    <row r="3" spans="1:8">
      <c r="A3" t="str">
        <f>$B$3&amp;"-"&amp;C3</f>
        <v>CONSERVADOR-PAPEL</v>
      </c>
      <c r="B3" t="s">
        <v>30</v>
      </c>
      <c r="C3" s="38" t="s">
        <v>23</v>
      </c>
      <c r="D3" s="39">
        <v>0.3</v>
      </c>
    </row>
    <row r="4" spans="1:8">
      <c r="A4" t="str">
        <f t="shared" ref="A4:A8" si="0">$B$3&amp;"-"&amp;C4</f>
        <v>CONSERVADOR-TIJOLO</v>
      </c>
      <c r="B4" t="s">
        <v>30</v>
      </c>
      <c r="C4" s="38" t="s">
        <v>24</v>
      </c>
      <c r="D4" s="39">
        <v>0.5</v>
      </c>
    </row>
    <row r="5" spans="1:8">
      <c r="A5" t="str">
        <f t="shared" si="0"/>
        <v>CONSERVADOR-HIBRIDOS</v>
      </c>
      <c r="B5" t="s">
        <v>30</v>
      </c>
      <c r="C5" s="38" t="s">
        <v>25</v>
      </c>
      <c r="D5" s="39">
        <v>0.1</v>
      </c>
    </row>
    <row r="6" spans="1:8">
      <c r="A6" t="str">
        <f t="shared" si="0"/>
        <v>CONSERVADOR-FOFs</v>
      </c>
      <c r="B6" t="s">
        <v>30</v>
      </c>
      <c r="C6" s="38" t="s">
        <v>26</v>
      </c>
      <c r="D6" s="40">
        <v>0.1</v>
      </c>
    </row>
    <row r="7" spans="1:8">
      <c r="A7" t="str">
        <f t="shared" si="0"/>
        <v>CONSERVADOR-DESENVOLVIMENTO</v>
      </c>
      <c r="B7" t="s">
        <v>30</v>
      </c>
      <c r="C7" s="38" t="s">
        <v>27</v>
      </c>
      <c r="D7" s="40">
        <v>0</v>
      </c>
    </row>
    <row r="8" spans="1:8">
      <c r="A8" t="str">
        <f t="shared" si="0"/>
        <v>CONSERVADOR-HOTELARIAS</v>
      </c>
      <c r="B8" t="s">
        <v>30</v>
      </c>
      <c r="C8" s="38" t="s">
        <v>28</v>
      </c>
      <c r="D8" s="40">
        <v>0</v>
      </c>
    </row>
    <row r="9" spans="1:8" s="42" customFormat="1">
      <c r="C9" s="44"/>
      <c r="D9" s="45"/>
    </row>
    <row r="10" spans="1:8">
      <c r="A10" t="str">
        <f>$B$10&amp;"-"&amp;C10</f>
        <v>MODERADO -PAPEL</v>
      </c>
      <c r="B10" t="s">
        <v>31</v>
      </c>
      <c r="C10" s="38" t="s">
        <v>23</v>
      </c>
      <c r="D10" s="40">
        <v>0.32</v>
      </c>
      <c r="H10" s="47"/>
    </row>
    <row r="11" spans="1:8">
      <c r="A11" t="str">
        <f>$B$10&amp;"-"&amp;C11</f>
        <v>MODERADO -TIJOLO</v>
      </c>
      <c r="B11" t="s">
        <v>31</v>
      </c>
      <c r="C11" s="38" t="s">
        <v>24</v>
      </c>
      <c r="D11" s="46">
        <v>0.4</v>
      </c>
    </row>
    <row r="12" spans="1:8">
      <c r="A12" t="str">
        <f t="shared" ref="A11:A15" si="1">$B$10&amp;"-"&amp;C12</f>
        <v>MODERADO -HIBRIDOS</v>
      </c>
      <c r="B12" t="s">
        <v>31</v>
      </c>
      <c r="C12" s="38" t="s">
        <v>25</v>
      </c>
      <c r="D12" s="46">
        <v>0.08</v>
      </c>
    </row>
    <row r="13" spans="1:8">
      <c r="A13" t="str">
        <f t="shared" si="1"/>
        <v>MODERADO -FOFs</v>
      </c>
      <c r="B13" t="s">
        <v>31</v>
      </c>
      <c r="C13" s="38" t="s">
        <v>26</v>
      </c>
      <c r="D13" s="46">
        <v>0.1</v>
      </c>
    </row>
    <row r="14" spans="1:8">
      <c r="A14" t="str">
        <f t="shared" si="1"/>
        <v>MODERADO -DESENVOLVIMENTO</v>
      </c>
      <c r="B14" t="s">
        <v>31</v>
      </c>
      <c r="C14" s="38" t="s">
        <v>27</v>
      </c>
      <c r="D14" s="46">
        <v>0.05</v>
      </c>
    </row>
    <row r="15" spans="1:8">
      <c r="A15" t="str">
        <f t="shared" si="1"/>
        <v>MODERADO -HOTELARIAS</v>
      </c>
      <c r="B15" t="s">
        <v>31</v>
      </c>
      <c r="C15" s="38" t="s">
        <v>28</v>
      </c>
      <c r="D15" s="46">
        <v>0.05</v>
      </c>
    </row>
    <row r="16" spans="1:8" s="42" customFormat="1">
      <c r="C16" s="44"/>
    </row>
    <row r="17" spans="1:4">
      <c r="A17" t="str">
        <f>$B$17&amp;"-"&amp;C17</f>
        <v>AGRESSIVO-PAPEL</v>
      </c>
      <c r="B17" t="s">
        <v>18</v>
      </c>
      <c r="C17" s="38" t="s">
        <v>23</v>
      </c>
      <c r="D17" s="46">
        <v>0.5</v>
      </c>
    </row>
    <row r="18" spans="1:4">
      <c r="A18" t="str">
        <f>$B$17&amp;"-"&amp;C18</f>
        <v>AGRESSIVO-TIJOLO</v>
      </c>
      <c r="B18" t="s">
        <v>18</v>
      </c>
      <c r="C18" s="38" t="s">
        <v>24</v>
      </c>
      <c r="D18" s="46">
        <v>0.1</v>
      </c>
    </row>
    <row r="19" spans="1:4">
      <c r="A19" t="str">
        <f>$B$17&amp;"-"&amp;C19</f>
        <v>AGRESSIVO-HIBRIDOS</v>
      </c>
      <c r="B19" t="s">
        <v>18</v>
      </c>
      <c r="C19" s="38" t="s">
        <v>25</v>
      </c>
      <c r="D19" s="46">
        <v>0.05</v>
      </c>
    </row>
    <row r="20" spans="1:4">
      <c r="A20" t="str">
        <f>$B$17&amp;"-"&amp;C20</f>
        <v>AGRESSIVO-FOFs</v>
      </c>
      <c r="B20" t="s">
        <v>18</v>
      </c>
      <c r="C20" s="38" t="s">
        <v>26</v>
      </c>
      <c r="D20" s="46">
        <v>0.05</v>
      </c>
    </row>
    <row r="21" spans="1:4">
      <c r="A21" t="str">
        <f>$B$17&amp;"-"&amp;C21</f>
        <v>AGRESSIVO-DESENVOLVIMENTO</v>
      </c>
      <c r="B21" t="str">
        <f>$B$17&amp;"-"&amp;D21</f>
        <v>AGRESSIVO-0,2</v>
      </c>
      <c r="C21" s="38" t="s">
        <v>27</v>
      </c>
      <c r="D21" s="46">
        <v>0.2</v>
      </c>
    </row>
    <row r="22" spans="1:4">
      <c r="A22" t="str">
        <f>$B$17&amp;"-"&amp;C22</f>
        <v>AGRESSIVO-HOTELARIAS</v>
      </c>
      <c r="B22" t="s">
        <v>18</v>
      </c>
      <c r="C22" s="38" t="s">
        <v>28</v>
      </c>
      <c r="D22" s="4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2026-01-16T18:41:28Z</dcterms:created>
  <dcterms:modified xsi:type="dcterms:W3CDTF">2026-01-17T14:39:18Z</dcterms:modified>
  <cp:category/>
  <cp:contentStatus/>
</cp:coreProperties>
</file>